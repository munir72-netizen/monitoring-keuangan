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dashboard" sheetId="2" r:id="rId5"/>
    <sheet state="visible" name="Sheet1" sheetId="3" r:id="rId6"/>
  </sheets>
  <definedNames/>
  <calcPr/>
</workbook>
</file>

<file path=xl/sharedStrings.xml><?xml version="1.0" encoding="utf-8"?>
<sst xmlns="http://schemas.openxmlformats.org/spreadsheetml/2006/main" count="185" uniqueCount="64">
  <si>
    <t>Timestamp</t>
  </si>
  <si>
    <t>Column 2</t>
  </si>
  <si>
    <t>TANGGAL</t>
  </si>
  <si>
    <t>DESKRIPSI</t>
  </si>
  <si>
    <t>NOMINAL</t>
  </si>
  <si>
    <t>KATEGORI</t>
  </si>
  <si>
    <t xml:space="preserve">SUMBER/AKUN  </t>
  </si>
  <si>
    <t>AKUN TUJUAN</t>
  </si>
  <si>
    <t>UPLOAD GAMBAR NOTA TRANSAKSI</t>
  </si>
  <si>
    <t/>
  </si>
  <si>
    <t>Gaji</t>
  </si>
  <si>
    <t>PEMASUKAN</t>
  </si>
  <si>
    <t>SINARMAS</t>
  </si>
  <si>
    <t>Tarik tunai</t>
  </si>
  <si>
    <t>MUTASI/TRANSFER</t>
  </si>
  <si>
    <t>CASH</t>
  </si>
  <si>
    <t>Kondangan/buwuh</t>
  </si>
  <si>
    <t>PENGELUARAN</t>
  </si>
  <si>
    <t>Untuk langganan iclod</t>
  </si>
  <si>
    <t>DANA</t>
  </si>
  <si>
    <t>Bayar spay</t>
  </si>
  <si>
    <t>SHOPEE PAY</t>
  </si>
  <si>
    <t>Nabung</t>
  </si>
  <si>
    <t>Memberi mama</t>
  </si>
  <si>
    <t>Jajan</t>
  </si>
  <si>
    <t>Memberi adek</t>
  </si>
  <si>
    <t>Bayaran hutang cak pendik</t>
  </si>
  <si>
    <t>Tagihan gmail Iphon</t>
  </si>
  <si>
    <t>Bayar payleter</t>
  </si>
  <si>
    <t xml:space="preserve">Oper uang untuk bayar jajan (diva) </t>
  </si>
  <si>
    <t xml:space="preserve">Oper uang untuk bayar jajan (rozaq) </t>
  </si>
  <si>
    <t xml:space="preserve">Oper uang untuk bayar jajan (pak ray) </t>
  </si>
  <si>
    <t xml:space="preserve">Oper uang untuk bayar jajan (diva &amp; rozaq) </t>
  </si>
  <si>
    <t>bayar cetak stiker</t>
  </si>
  <si>
    <t>Bayar Spaylater</t>
  </si>
  <si>
    <t>Bayar spinjam</t>
  </si>
  <si>
    <t>Bayar bener dan stiker k3</t>
  </si>
  <si>
    <t>Ganti uang print benner</t>
  </si>
  <si>
    <t>Bayar wifi</t>
  </si>
  <si>
    <t>Uang bayar wifi cash</t>
  </si>
  <si>
    <t>Bayar spaylater dari ricat</t>
  </si>
  <si>
    <t xml:space="preserve">Bayar spylater (kombinasi aku dan ricat) </t>
  </si>
  <si>
    <t>Bayar spayleter ricat</t>
  </si>
  <si>
    <t>Bayar spayleter</t>
  </si>
  <si>
    <t>Memasukkan cempolong</t>
  </si>
  <si>
    <t>https://drive.google.com/open?id=134LqCvl_1Svd1sTJAzpoSjmL3_HCYA93</t>
  </si>
  <si>
    <t>Pertamax</t>
  </si>
  <si>
    <t>Paket internet mama</t>
  </si>
  <si>
    <t>TEST INPUT DATA</t>
  </si>
  <si>
    <t>-</t>
  </si>
  <si>
    <t>NAMA SUMBER</t>
  </si>
  <si>
    <t>SALDO AWAL</t>
  </si>
  <si>
    <t>SISA SALDO</t>
  </si>
  <si>
    <t>SEABANK</t>
  </si>
  <si>
    <t>LIVIN MANDIRI</t>
  </si>
  <si>
    <t>GOPAY</t>
  </si>
  <si>
    <t>KETERANGAN</t>
  </si>
  <si>
    <t>UANG CASH</t>
  </si>
  <si>
    <t>SALDO SINARMAS</t>
  </si>
  <si>
    <t>SALDO DANA</t>
  </si>
  <si>
    <t>SALDO SEABANK</t>
  </si>
  <si>
    <t>SALDO LIVIN MANDIRI</t>
  </si>
  <si>
    <t>SALDO SHOPEE PAY</t>
  </si>
  <si>
    <t>SALDO GOPAY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</si>
</sst>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m/d/yyyy h:mm:ss"/>
    <numFmt numFmtId="166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sz val="12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theme="1"/>
      <name val="Arial"/>
      <scheme val="minor"/>
    </font>
    <font>
      <color rgb="FFFFFFFF"/>
      <name val="Arial"/>
      <scheme val="minor"/>
    </font>
    <font>
      <b/>
      <sz val="15.0"/>
      <color rgb="FFFFFFFF"/>
      <name val="Arial"/>
      <scheme val="minor"/>
    </font>
    <font>
      <b/>
      <sz val="15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A64D79"/>
        <bgColor rgb="FFA64D79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4" numFmtId="0" xfId="0" applyAlignment="1" applyFill="1" applyFont="1">
      <alignment readingOrder="0"/>
    </xf>
    <xf borderId="0" fillId="0" fontId="5" numFmtId="0" xfId="0" applyFont="1"/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6" fontId="6" numFmtId="0" xfId="0" applyAlignment="1" applyFill="1" applyFont="1">
      <alignment readingOrder="0"/>
    </xf>
    <xf borderId="0" fillId="2" fontId="4" numFmtId="164" xfId="0" applyFont="1" applyNumberFormat="1"/>
    <xf borderId="0" fillId="3" fontId="4" numFmtId="164" xfId="0" applyFont="1" applyNumberFormat="1"/>
    <xf borderId="0" fillId="4" fontId="4" numFmtId="164" xfId="0" applyFont="1" applyNumberFormat="1"/>
    <xf borderId="0" fillId="5" fontId="7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3" fontId="7" numFmtId="164" xfId="0" applyAlignment="1" applyFont="1" applyNumberFormat="1">
      <alignment readingOrder="0"/>
    </xf>
    <xf borderId="0" fillId="4" fontId="7" numFmtId="164" xfId="0" applyAlignment="1" applyFont="1" applyNumberFormat="1">
      <alignment readingOrder="0"/>
    </xf>
    <xf borderId="0" fillId="6" fontId="7" numFmtId="164" xfId="0" applyAlignment="1" applyFont="1" applyNumberFormat="1">
      <alignment readingOrder="0"/>
    </xf>
    <xf borderId="0" fillId="7" fontId="6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7" fontId="7" numFmtId="164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8" fontId="8" numFmtId="164" xfId="0" applyAlignment="1" applyFont="1" applyNumberFormat="1">
      <alignment readingOrder="0"/>
    </xf>
    <xf borderId="0" fillId="2" fontId="7" numFmtId="164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dashboard-style 2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SALDO AWAL dan SISA SALDO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dashboard!$A$8:$A$14</c:f>
            </c:strRef>
          </c:cat>
          <c:val>
            <c:numRef>
              <c:f>dashboard!$B$8:$B$14</c:f>
              <c:numCache/>
            </c:numRef>
          </c:val>
          <c:smooth val="1"/>
        </c:ser>
        <c:ser>
          <c:idx val="1"/>
          <c:order val="1"/>
          <c:tx>
            <c:strRef>
              <c:f>dashboard!$C$7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dashboard!$A$8:$A$14</c:f>
            </c:strRef>
          </c:cat>
          <c:val>
            <c:numRef>
              <c:f>dashboard!$C$8:$C$14</c:f>
              <c:numCache/>
            </c:numRef>
          </c:val>
          <c:smooth val="1"/>
        </c:ser>
        <c:axId val="28439282"/>
        <c:axId val="1693787182"/>
      </c:lineChart>
      <c:catAx>
        <c:axId val="28439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NAMA SUMBER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787182"/>
      </c:catAx>
      <c:valAx>
        <c:axId val="1693787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39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dashboard!$A$2:$C$2</c:f>
            </c:strRef>
          </c:cat>
          <c:val>
            <c:numRef>
              <c:f>dashboard!$A$3:$C$3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38100</xdr:rowOff>
    </xdr:from>
    <xdr:ext cx="3771900" cy="229552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</xdr:colOff>
      <xdr:row>0</xdr:row>
      <xdr:rowOff>28575</xdr:rowOff>
    </xdr:from>
    <xdr:ext cx="2495550" cy="229552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7" displayName="Form_Responses" name="Form_Responses" id="1">
  <tableColumns count="9">
    <tableColumn name="Timestamp" id="1"/>
    <tableColumn name="Column 2" id="2"/>
    <tableColumn name="TANGGAL" id="3"/>
    <tableColumn name="DESKRIPSI" id="4"/>
    <tableColumn name="NOMINAL" id="5"/>
    <tableColumn name="KATEGORI" id="6"/>
    <tableColumn name="SUMBER/AKUN  " id="7"/>
    <tableColumn name="AKUN TUJUAN" id="8"/>
    <tableColumn name="UPLOAD GAMBAR NOTA TRANSAKSI" id="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2:C3" displayName="Table2" name="Table2" id="2">
  <tableColumns count="3">
    <tableColumn name="PEMASUKAN" id="1"/>
    <tableColumn name="PENGELUARAN" id="2"/>
    <tableColumn name="MUTASI/TRANSFER" id="3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A7:C14" displayName="Table1" name="Table1" id="3">
  <tableColumns count="3">
    <tableColumn name="NAMA SUMBER" id="1"/>
    <tableColumn name="SALDO AWAL" id="2"/>
    <tableColumn name="SISA SALDO" id="3"/>
  </tableColumns>
  <tableStyleInfo name="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34LqCvl_1Svd1sTJAzpoSjmL3_HCYA93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4.25"/>
    <col customWidth="1" min="3" max="3" width="13.0"/>
    <col customWidth="1" min="4" max="4" width="33.88"/>
    <col customWidth="1" min="5" max="15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ht="22.5" customHeight="1">
      <c r="A2" s="5">
        <v>46027.47773918981</v>
      </c>
      <c r="B2" s="6" t="s">
        <v>9</v>
      </c>
      <c r="C2" s="7">
        <v>46027.0</v>
      </c>
      <c r="D2" s="6" t="s">
        <v>10</v>
      </c>
      <c r="E2" s="6">
        <v>2000000.0</v>
      </c>
      <c r="F2" s="6" t="s">
        <v>11</v>
      </c>
      <c r="G2" s="6" t="s">
        <v>12</v>
      </c>
    </row>
    <row r="3" ht="22.5" customHeight="1">
      <c r="A3" s="5">
        <v>46027.489055451384</v>
      </c>
      <c r="B3" s="6" t="s">
        <v>9</v>
      </c>
      <c r="C3" s="7">
        <v>46027.0</v>
      </c>
      <c r="D3" s="6" t="s">
        <v>13</v>
      </c>
      <c r="E3" s="6">
        <v>1000000.0</v>
      </c>
      <c r="F3" s="6" t="s">
        <v>14</v>
      </c>
      <c r="G3" s="6" t="s">
        <v>12</v>
      </c>
      <c r="H3" s="6" t="s">
        <v>15</v>
      </c>
      <c r="I3" s="8"/>
    </row>
    <row r="4" ht="22.5" customHeight="1">
      <c r="A4" s="5">
        <v>46027.525896990745</v>
      </c>
      <c r="B4" s="6" t="s">
        <v>9</v>
      </c>
      <c r="C4" s="7">
        <v>46027.0</v>
      </c>
      <c r="D4" s="6" t="s">
        <v>16</v>
      </c>
      <c r="E4" s="6">
        <v>50000.0</v>
      </c>
      <c r="F4" s="6" t="s">
        <v>17</v>
      </c>
      <c r="G4" s="6" t="s">
        <v>15</v>
      </c>
    </row>
    <row r="5" ht="22.5" customHeight="1">
      <c r="A5" s="5">
        <v>46028.10941841435</v>
      </c>
      <c r="B5" s="6" t="s">
        <v>9</v>
      </c>
      <c r="C5" s="7">
        <v>46028.0</v>
      </c>
      <c r="D5" s="6" t="s">
        <v>18</v>
      </c>
      <c r="E5" s="6">
        <v>50000.0</v>
      </c>
      <c r="F5" s="6" t="s">
        <v>14</v>
      </c>
      <c r="G5" s="6" t="s">
        <v>12</v>
      </c>
      <c r="H5" s="6" t="s">
        <v>19</v>
      </c>
      <c r="I5" s="8"/>
    </row>
    <row r="6" ht="22.5" customHeight="1">
      <c r="A6" s="5">
        <v>46028.22007609953</v>
      </c>
      <c r="B6" s="6" t="s">
        <v>9</v>
      </c>
      <c r="C6" s="7">
        <v>46028.0</v>
      </c>
      <c r="D6" s="6" t="s">
        <v>20</v>
      </c>
      <c r="E6" s="6">
        <v>500000.0</v>
      </c>
      <c r="F6" s="6" t="s">
        <v>14</v>
      </c>
      <c r="G6" s="6" t="s">
        <v>12</v>
      </c>
      <c r="H6" s="6" t="s">
        <v>21</v>
      </c>
      <c r="I6" s="8"/>
    </row>
    <row r="7" ht="22.5" customHeight="1">
      <c r="A7" s="5">
        <v>46028.22232480324</v>
      </c>
      <c r="B7" s="6" t="s">
        <v>9</v>
      </c>
      <c r="C7" s="7">
        <v>46027.0</v>
      </c>
      <c r="D7" s="6" t="s">
        <v>22</v>
      </c>
      <c r="E7" s="6">
        <v>500000.0</v>
      </c>
      <c r="F7" s="6" t="s">
        <v>17</v>
      </c>
      <c r="G7" s="6" t="s">
        <v>15</v>
      </c>
    </row>
    <row r="8" ht="22.5" customHeight="1">
      <c r="A8" s="5">
        <v>46028.22260576389</v>
      </c>
      <c r="B8" s="6" t="s">
        <v>9</v>
      </c>
      <c r="C8" s="7">
        <v>46027.0</v>
      </c>
      <c r="D8" s="6" t="s">
        <v>23</v>
      </c>
      <c r="E8" s="6">
        <v>300000.0</v>
      </c>
      <c r="F8" s="6" t="s">
        <v>17</v>
      </c>
      <c r="G8" s="6" t="s">
        <v>15</v>
      </c>
    </row>
    <row r="9" ht="22.5" customHeight="1">
      <c r="A9" s="5">
        <v>46028.24585527778</v>
      </c>
      <c r="B9" s="6" t="s">
        <v>9</v>
      </c>
      <c r="C9" s="7">
        <v>46027.0</v>
      </c>
      <c r="D9" s="6" t="s">
        <v>24</v>
      </c>
      <c r="E9" s="6">
        <v>37000.0</v>
      </c>
      <c r="F9" s="6" t="s">
        <v>17</v>
      </c>
      <c r="G9" s="6" t="s">
        <v>15</v>
      </c>
    </row>
    <row r="10" ht="22.5" customHeight="1">
      <c r="A10" s="5">
        <v>46028.24611170139</v>
      </c>
      <c r="B10" s="6" t="s">
        <v>9</v>
      </c>
      <c r="C10" s="7">
        <v>46027.0</v>
      </c>
      <c r="D10" s="6" t="s">
        <v>25</v>
      </c>
      <c r="E10" s="6">
        <v>50000.0</v>
      </c>
      <c r="F10" s="6" t="s">
        <v>17</v>
      </c>
      <c r="G10" s="6" t="s">
        <v>15</v>
      </c>
    </row>
    <row r="11" ht="22.5" customHeight="1">
      <c r="A11" s="5">
        <v>46028.26189592593</v>
      </c>
      <c r="B11" s="6" t="s">
        <v>9</v>
      </c>
      <c r="C11" s="7">
        <v>46028.0</v>
      </c>
      <c r="D11" s="6" t="s">
        <v>26</v>
      </c>
      <c r="E11" s="6">
        <v>50000.0</v>
      </c>
      <c r="F11" s="6" t="s">
        <v>17</v>
      </c>
      <c r="G11" s="6" t="s">
        <v>12</v>
      </c>
      <c r="H11" s="6" t="s">
        <v>12</v>
      </c>
      <c r="I11" s="8"/>
    </row>
    <row r="12" ht="22.5" customHeight="1">
      <c r="A12" s="5">
        <v>46028.48402278935</v>
      </c>
      <c r="B12" s="6" t="s">
        <v>9</v>
      </c>
      <c r="C12" s="7">
        <v>46028.0</v>
      </c>
      <c r="D12" s="6" t="s">
        <v>27</v>
      </c>
      <c r="E12" s="6">
        <v>48000.0</v>
      </c>
      <c r="F12" s="6" t="s">
        <v>17</v>
      </c>
      <c r="G12" s="6" t="s">
        <v>19</v>
      </c>
    </row>
    <row r="13" ht="22.5" customHeight="1">
      <c r="A13" s="5">
        <v>46028.769028599534</v>
      </c>
      <c r="B13" s="6" t="s">
        <v>9</v>
      </c>
      <c r="C13" s="7">
        <v>46028.0</v>
      </c>
      <c r="D13" s="6" t="s">
        <v>28</v>
      </c>
      <c r="E13" s="6">
        <v>129806.0</v>
      </c>
      <c r="F13" s="6" t="s">
        <v>17</v>
      </c>
      <c r="G13" s="6" t="s">
        <v>21</v>
      </c>
    </row>
    <row r="14" ht="22.5" customHeight="1">
      <c r="A14" s="5">
        <v>46028.782302060186</v>
      </c>
      <c r="B14" s="6" t="s">
        <v>9</v>
      </c>
      <c r="C14" s="7">
        <v>46028.0</v>
      </c>
      <c r="D14" s="6" t="s">
        <v>24</v>
      </c>
      <c r="E14" s="6">
        <v>15000.0</v>
      </c>
      <c r="F14" s="6" t="s">
        <v>17</v>
      </c>
      <c r="G14" s="6" t="s">
        <v>15</v>
      </c>
    </row>
    <row r="15" ht="22.5" customHeight="1">
      <c r="A15" s="5">
        <v>46030.24991158565</v>
      </c>
      <c r="B15" s="6" t="s">
        <v>9</v>
      </c>
      <c r="C15" s="7">
        <v>46029.0</v>
      </c>
      <c r="D15" s="6" t="s">
        <v>29</v>
      </c>
      <c r="E15" s="6">
        <v>10000.0</v>
      </c>
      <c r="F15" s="6" t="s">
        <v>11</v>
      </c>
      <c r="G15" s="6" t="s">
        <v>12</v>
      </c>
    </row>
    <row r="16" ht="22.5" customHeight="1">
      <c r="A16" s="5">
        <v>46030.25026042824</v>
      </c>
      <c r="B16" s="6" t="s">
        <v>9</v>
      </c>
      <c r="C16" s="7">
        <v>46029.0</v>
      </c>
      <c r="D16" s="6" t="s">
        <v>30</v>
      </c>
      <c r="E16" s="6">
        <v>10000.0</v>
      </c>
      <c r="F16" s="6" t="s">
        <v>11</v>
      </c>
      <c r="G16" s="6" t="s">
        <v>12</v>
      </c>
    </row>
    <row r="17" ht="22.5" customHeight="1">
      <c r="A17" s="5">
        <v>46030.25056152778</v>
      </c>
      <c r="B17" s="6" t="s">
        <v>9</v>
      </c>
      <c r="C17" s="7">
        <v>46030.0</v>
      </c>
      <c r="D17" s="6" t="s">
        <v>31</v>
      </c>
      <c r="E17" s="6">
        <v>10000.0</v>
      </c>
      <c r="F17" s="6" t="s">
        <v>11</v>
      </c>
      <c r="G17" s="6" t="s">
        <v>12</v>
      </c>
    </row>
    <row r="18" ht="22.5" customHeight="1">
      <c r="A18" s="5">
        <v>46030.25108628473</v>
      </c>
      <c r="B18" s="6" t="s">
        <v>9</v>
      </c>
      <c r="C18" s="7">
        <v>46029.0</v>
      </c>
      <c r="D18" s="6" t="s">
        <v>32</v>
      </c>
      <c r="E18" s="6">
        <v>20000.0</v>
      </c>
      <c r="F18" s="6" t="s">
        <v>17</v>
      </c>
      <c r="G18" s="6" t="s">
        <v>15</v>
      </c>
    </row>
    <row r="19" ht="22.5" customHeight="1">
      <c r="A19" s="5">
        <v>46030.251402222224</v>
      </c>
      <c r="B19" s="6" t="s">
        <v>9</v>
      </c>
      <c r="C19" s="7">
        <v>46030.0</v>
      </c>
      <c r="D19" s="6" t="s">
        <v>31</v>
      </c>
      <c r="E19" s="6">
        <v>10000.0</v>
      </c>
      <c r="F19" s="6" t="s">
        <v>17</v>
      </c>
      <c r="G19" s="6" t="s">
        <v>15</v>
      </c>
    </row>
    <row r="20" ht="22.5" customHeight="1">
      <c r="A20" s="5">
        <v>46030.449263692135</v>
      </c>
      <c r="B20" s="6" t="s">
        <v>9</v>
      </c>
      <c r="C20" s="7">
        <v>46030.0</v>
      </c>
      <c r="D20" s="6" t="s">
        <v>33</v>
      </c>
      <c r="E20" s="6">
        <v>11000.0</v>
      </c>
      <c r="F20" s="6" t="s">
        <v>17</v>
      </c>
      <c r="G20" s="6" t="s">
        <v>12</v>
      </c>
    </row>
    <row r="21" ht="22.5" customHeight="1">
      <c r="A21" s="5">
        <v>46030.52384782408</v>
      </c>
      <c r="B21" s="6" t="s">
        <v>9</v>
      </c>
      <c r="C21" s="7">
        <v>46030.0</v>
      </c>
      <c r="D21" s="6" t="s">
        <v>24</v>
      </c>
      <c r="E21" s="6">
        <v>16200.0</v>
      </c>
      <c r="F21" s="6" t="s">
        <v>17</v>
      </c>
      <c r="G21" s="6" t="s">
        <v>21</v>
      </c>
    </row>
    <row r="22" ht="22.5" customHeight="1">
      <c r="A22" s="5">
        <v>46031.42356761574</v>
      </c>
      <c r="B22" s="6" t="s">
        <v>9</v>
      </c>
      <c r="C22" s="7">
        <v>46031.0</v>
      </c>
      <c r="D22" s="6" t="s">
        <v>34</v>
      </c>
      <c r="E22" s="6">
        <v>76066.0</v>
      </c>
      <c r="F22" s="6" t="s">
        <v>17</v>
      </c>
      <c r="G22" s="6" t="s">
        <v>21</v>
      </c>
    </row>
    <row r="23" ht="22.5" customHeight="1">
      <c r="A23" s="5">
        <v>46031.424971099535</v>
      </c>
      <c r="B23" s="6" t="s">
        <v>9</v>
      </c>
      <c r="C23" s="7">
        <v>46031.0</v>
      </c>
      <c r="D23" s="6" t="s">
        <v>35</v>
      </c>
      <c r="E23" s="6">
        <v>100262.0</v>
      </c>
      <c r="F23" s="6" t="s">
        <v>17</v>
      </c>
      <c r="G23" s="6" t="s">
        <v>21</v>
      </c>
    </row>
    <row r="24" ht="22.5" customHeight="1">
      <c r="A24" s="5">
        <v>46031.425745138884</v>
      </c>
      <c r="B24" s="6" t="s">
        <v>9</v>
      </c>
      <c r="C24" s="7">
        <v>46031.0</v>
      </c>
      <c r="D24" s="6" t="s">
        <v>35</v>
      </c>
      <c r="E24" s="6">
        <v>62660.0</v>
      </c>
      <c r="F24" s="6" t="s">
        <v>17</v>
      </c>
      <c r="G24" s="6" t="s">
        <v>21</v>
      </c>
    </row>
    <row r="25" ht="22.5" customHeight="1">
      <c r="A25" s="5">
        <v>46031.495991874996</v>
      </c>
      <c r="B25" s="6" t="s">
        <v>9</v>
      </c>
      <c r="C25" s="7">
        <v>46031.0</v>
      </c>
      <c r="D25" s="6" t="s">
        <v>36</v>
      </c>
      <c r="E25" s="6">
        <v>70000.0</v>
      </c>
      <c r="F25" s="6" t="s">
        <v>17</v>
      </c>
      <c r="G25" s="6" t="s">
        <v>12</v>
      </c>
    </row>
    <row r="26" ht="22.5" customHeight="1">
      <c r="A26" s="5">
        <v>46031.49685725695</v>
      </c>
      <c r="B26" s="6" t="s">
        <v>9</v>
      </c>
      <c r="C26" s="7">
        <v>46031.0</v>
      </c>
      <c r="D26" s="6" t="s">
        <v>37</v>
      </c>
      <c r="E26" s="6">
        <v>61000.0</v>
      </c>
      <c r="F26" s="6" t="s">
        <v>11</v>
      </c>
      <c r="G26" s="6" t="s">
        <v>15</v>
      </c>
    </row>
    <row r="27" ht="22.5" customHeight="1">
      <c r="A27" s="5">
        <v>46031.76818032407</v>
      </c>
      <c r="B27" s="6" t="s">
        <v>9</v>
      </c>
      <c r="C27" s="7">
        <v>46031.0</v>
      </c>
      <c r="D27" s="6" t="s">
        <v>38</v>
      </c>
      <c r="E27" s="6">
        <v>167000.0</v>
      </c>
      <c r="F27" s="6" t="s">
        <v>17</v>
      </c>
      <c r="G27" s="6" t="s">
        <v>12</v>
      </c>
    </row>
    <row r="28" ht="22.5" customHeight="1">
      <c r="A28" s="5">
        <v>46031.76844717593</v>
      </c>
      <c r="B28" s="6" t="s">
        <v>9</v>
      </c>
      <c r="C28" s="7">
        <v>46031.0</v>
      </c>
      <c r="D28" s="6" t="s">
        <v>39</v>
      </c>
      <c r="E28" s="6">
        <v>167000.0</v>
      </c>
      <c r="F28" s="6" t="s">
        <v>11</v>
      </c>
      <c r="G28" s="6" t="s">
        <v>15</v>
      </c>
    </row>
    <row r="29" ht="22.5" customHeight="1">
      <c r="A29" s="5">
        <v>46032.64856313658</v>
      </c>
      <c r="B29" s="6" t="s">
        <v>9</v>
      </c>
      <c r="C29" s="7">
        <v>46032.0</v>
      </c>
      <c r="D29" s="6" t="s">
        <v>40</v>
      </c>
      <c r="E29" s="6">
        <v>480000.0</v>
      </c>
      <c r="F29" s="6" t="s">
        <v>11</v>
      </c>
      <c r="G29" s="6" t="s">
        <v>21</v>
      </c>
    </row>
    <row r="30" ht="22.5" customHeight="1">
      <c r="A30" s="5">
        <v>46032.64913841435</v>
      </c>
      <c r="B30" s="6" t="s">
        <v>9</v>
      </c>
      <c r="C30" s="7">
        <v>46032.0</v>
      </c>
      <c r="D30" s="6" t="s">
        <v>41</v>
      </c>
      <c r="E30" s="6">
        <v>260401.0</v>
      </c>
      <c r="F30" s="6" t="s">
        <v>17</v>
      </c>
      <c r="G30" s="6" t="s">
        <v>21</v>
      </c>
    </row>
    <row r="31" ht="22.5" customHeight="1">
      <c r="A31" s="5">
        <v>46032.65162284722</v>
      </c>
      <c r="B31" s="6" t="s">
        <v>9</v>
      </c>
      <c r="C31" s="7">
        <v>46032.0</v>
      </c>
      <c r="D31" s="6" t="s">
        <v>42</v>
      </c>
      <c r="E31" s="6">
        <v>179731.0</v>
      </c>
      <c r="F31" s="6" t="s">
        <v>17</v>
      </c>
      <c r="G31" s="6" t="s">
        <v>21</v>
      </c>
    </row>
    <row r="32" ht="22.5" customHeight="1">
      <c r="A32" s="5">
        <v>46032.653474375</v>
      </c>
      <c r="B32" s="6" t="s">
        <v>9</v>
      </c>
      <c r="C32" s="7">
        <v>46032.0</v>
      </c>
      <c r="D32" s="6" t="s">
        <v>43</v>
      </c>
      <c r="E32" s="6">
        <v>50000.0</v>
      </c>
      <c r="F32" s="6" t="s">
        <v>14</v>
      </c>
      <c r="G32" s="6" t="s">
        <v>12</v>
      </c>
      <c r="H32" s="6" t="s">
        <v>21</v>
      </c>
      <c r="I32" s="8"/>
    </row>
    <row r="33" ht="22.5" customHeight="1">
      <c r="A33" s="5">
        <v>46032.65675329861</v>
      </c>
      <c r="B33" s="6" t="s">
        <v>9</v>
      </c>
      <c r="C33" s="7">
        <v>46032.0</v>
      </c>
      <c r="D33" s="6" t="s">
        <v>43</v>
      </c>
      <c r="E33" s="6">
        <v>250491.0</v>
      </c>
      <c r="F33" s="6" t="s">
        <v>17</v>
      </c>
      <c r="G33" s="6" t="s">
        <v>21</v>
      </c>
    </row>
    <row r="34" ht="22.5" customHeight="1">
      <c r="A34" s="5">
        <v>46032.828047800926</v>
      </c>
      <c r="B34" s="6" t="s">
        <v>9</v>
      </c>
      <c r="C34" s="7">
        <v>46031.0</v>
      </c>
      <c r="D34" s="6" t="s">
        <v>44</v>
      </c>
      <c r="E34" s="6">
        <v>10000.0</v>
      </c>
      <c r="F34" s="6" t="s">
        <v>17</v>
      </c>
      <c r="G34" s="6" t="s">
        <v>12</v>
      </c>
      <c r="I34" s="9" t="s">
        <v>45</v>
      </c>
    </row>
    <row r="35" ht="22.5" customHeight="1">
      <c r="A35" s="5">
        <v>46033.40102730324</v>
      </c>
      <c r="B35" s="6" t="s">
        <v>9</v>
      </c>
      <c r="C35" s="7">
        <v>46033.0</v>
      </c>
      <c r="D35" s="6" t="s">
        <v>46</v>
      </c>
      <c r="E35" s="6">
        <v>30000.0</v>
      </c>
      <c r="F35" s="6" t="s">
        <v>17</v>
      </c>
      <c r="G35" s="6" t="s">
        <v>15</v>
      </c>
    </row>
    <row r="36" ht="22.5" customHeight="1">
      <c r="A36" s="5">
        <v>46033.414725069444</v>
      </c>
      <c r="B36" s="6" t="s">
        <v>9</v>
      </c>
      <c r="C36" s="7">
        <v>46033.0</v>
      </c>
      <c r="D36" s="6" t="s">
        <v>47</v>
      </c>
      <c r="E36" s="6">
        <v>28000.0</v>
      </c>
      <c r="F36" s="6" t="s">
        <v>17</v>
      </c>
      <c r="G36" s="6" t="s">
        <v>15</v>
      </c>
    </row>
    <row r="37" ht="22.5" customHeight="1">
      <c r="A37" s="10">
        <v>46033.676872615746</v>
      </c>
      <c r="C37" s="11">
        <v>46033.0</v>
      </c>
      <c r="D37" s="12" t="s">
        <v>48</v>
      </c>
      <c r="E37" s="12">
        <v>0.0</v>
      </c>
      <c r="F37" s="12" t="s">
        <v>17</v>
      </c>
      <c r="G37" s="12" t="s">
        <v>15</v>
      </c>
      <c r="H37" s="12" t="s">
        <v>49</v>
      </c>
      <c r="I37" s="13"/>
    </row>
    <row r="38">
      <c r="E38" s="14"/>
    </row>
    <row r="39">
      <c r="E39" s="14"/>
    </row>
    <row r="40">
      <c r="E40" s="14"/>
    </row>
    <row r="41">
      <c r="E41" s="14"/>
    </row>
    <row r="42">
      <c r="E42" s="14"/>
    </row>
    <row r="43">
      <c r="E43" s="14"/>
    </row>
    <row r="44">
      <c r="E44" s="14"/>
    </row>
    <row r="45">
      <c r="E45" s="14"/>
    </row>
    <row r="46">
      <c r="E46" s="14"/>
    </row>
    <row r="47">
      <c r="E47" s="14"/>
    </row>
    <row r="48">
      <c r="E48" s="14"/>
    </row>
    <row r="49">
      <c r="E49" s="14"/>
    </row>
    <row r="50">
      <c r="E50" s="14"/>
    </row>
    <row r="51">
      <c r="E51" s="14"/>
    </row>
    <row r="52">
      <c r="E52" s="14"/>
    </row>
    <row r="53">
      <c r="E53" s="14"/>
    </row>
    <row r="54">
      <c r="E54" s="14"/>
    </row>
    <row r="55">
      <c r="E55" s="14"/>
    </row>
    <row r="56">
      <c r="E56" s="14"/>
    </row>
    <row r="57">
      <c r="E57" s="14"/>
    </row>
    <row r="58">
      <c r="E58" s="14"/>
    </row>
    <row r="59">
      <c r="E59" s="14"/>
    </row>
    <row r="60">
      <c r="E60" s="14"/>
    </row>
    <row r="61">
      <c r="E61" s="14"/>
    </row>
    <row r="62">
      <c r="E62" s="14"/>
    </row>
    <row r="63">
      <c r="E63" s="14"/>
    </row>
    <row r="64">
      <c r="E64" s="14"/>
    </row>
    <row r="65">
      <c r="E65" s="14"/>
    </row>
    <row r="66">
      <c r="E66" s="14"/>
    </row>
    <row r="67">
      <c r="E67" s="14"/>
    </row>
    <row r="68">
      <c r="E68" s="14"/>
    </row>
    <row r="69">
      <c r="E69" s="14"/>
    </row>
    <row r="70">
      <c r="E70" s="14"/>
    </row>
    <row r="71">
      <c r="E71" s="14"/>
    </row>
    <row r="72">
      <c r="E72" s="14"/>
    </row>
    <row r="73">
      <c r="E73" s="14"/>
    </row>
    <row r="74">
      <c r="E74" s="14"/>
    </row>
    <row r="75">
      <c r="E75" s="14"/>
    </row>
    <row r="76">
      <c r="E76" s="14"/>
    </row>
    <row r="77">
      <c r="E77" s="14"/>
    </row>
    <row r="78">
      <c r="E78" s="14"/>
    </row>
    <row r="79">
      <c r="E79" s="14"/>
    </row>
    <row r="80">
      <c r="E80" s="14"/>
    </row>
    <row r="81">
      <c r="E81" s="14"/>
    </row>
    <row r="82">
      <c r="E82" s="14"/>
    </row>
    <row r="83">
      <c r="E83" s="14"/>
    </row>
    <row r="84">
      <c r="E84" s="14"/>
    </row>
    <row r="85">
      <c r="E85" s="14"/>
    </row>
    <row r="86">
      <c r="E86" s="14"/>
    </row>
    <row r="87">
      <c r="E87" s="14"/>
    </row>
    <row r="88">
      <c r="E88" s="14"/>
    </row>
    <row r="89">
      <c r="E89" s="14"/>
    </row>
    <row r="90">
      <c r="E90" s="14"/>
    </row>
    <row r="91">
      <c r="E91" s="14"/>
    </row>
    <row r="92">
      <c r="E92" s="14"/>
    </row>
    <row r="93">
      <c r="E93" s="14"/>
    </row>
    <row r="94">
      <c r="E94" s="14"/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</sheetData>
  <hyperlinks>
    <hyperlink r:id="rId1" ref="I3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8.88"/>
    <col customWidth="1" min="3" max="3" width="17.88"/>
    <col customWidth="1" min="4" max="4" width="3.63"/>
    <col customWidth="1" min="5" max="5" width="12.75"/>
  </cols>
  <sheetData>
    <row r="1">
      <c r="A1" s="15"/>
    </row>
    <row r="2" ht="22.5" customHeight="1">
      <c r="A2" s="16" t="s">
        <v>11</v>
      </c>
      <c r="B2" s="16" t="s">
        <v>17</v>
      </c>
      <c r="C2" s="16" t="s">
        <v>14</v>
      </c>
    </row>
    <row r="3" ht="22.5" customHeight="1">
      <c r="A3" s="17">
        <f>SUMIF(Form_Responses[KATEGORI],"PEMASUKAN",Form_Responses[NOMINAL])</f>
        <v>2738000</v>
      </c>
      <c r="B3" s="17">
        <f>SUMIF(Form_Responses[KATEGORI],"PENGELUARAN",Form_Responses[NOMINAL])</f>
        <v>2471617</v>
      </c>
      <c r="C3" s="17">
        <f>SUMIF(Form_Responses[KATEGORI],"MUTASI/TRANSFER",Form_Responses[NOMINAL])</f>
        <v>1600000</v>
      </c>
    </row>
    <row r="4">
      <c r="A4" s="15"/>
    </row>
    <row r="5">
      <c r="A5" s="15"/>
    </row>
    <row r="6">
      <c r="A6" s="15"/>
    </row>
    <row r="7" ht="22.5" customHeight="1">
      <c r="A7" s="16" t="s">
        <v>50</v>
      </c>
      <c r="B7" s="16" t="s">
        <v>51</v>
      </c>
      <c r="C7" s="16" t="s">
        <v>52</v>
      </c>
    </row>
    <row r="8" ht="22.5" customHeight="1">
      <c r="A8" s="6" t="s">
        <v>15</v>
      </c>
      <c r="B8" s="18">
        <v>0.0</v>
      </c>
      <c r="C8" s="19">
        <f>B8
+ SUMIFS('Form Responses 1'!$E:$E,'Form Responses 1'!$F:$F, "PEMASUKAN", 'Form Responses 1'!G:G, $A8)
+ SUMIFS('Form Responses 1'!$E:$E,'Form Responses 1'!$F:$F, "MUTASI/TRANSFER", 'Form Responses 1'!H:H, $A8)
- SUMIFS('Form Responses 1'!$E:$E,'Form Responses 1'!$F:$F, "PENGELUARAN", 'Form Responses 1'!G:G, $A8)
- SUMIFS('Form Responses 1'!$E:$E,'Form Responses 1'!$F:$F, "MUTASI/TRANSFER", 'Form Responses 1'!G:G, $A8)</f>
        <v>188000</v>
      </c>
    </row>
    <row r="9" ht="22.5" customHeight="1">
      <c r="A9" s="6" t="s">
        <v>12</v>
      </c>
      <c r="B9" s="18">
        <v>0.0</v>
      </c>
      <c r="C9" s="19">
        <f>B9
+ SUMIFS('Form Responses 1'!$E:$E,'Form Responses 1'!$F:$F, "PEMASUKAN", 'Form Responses 1'!G:G, $A9)
+ SUMIFS('Form Responses 1'!$E:$E,'Form Responses 1'!$F:$F, "MUTASI/TRANSFER", 'Form Responses 1'!H:H, $A9)
- SUMIFS('Form Responses 1'!$E:$E,'Form Responses 1'!$F:$F, "PENGELUARAN", 'Form Responses 1'!G:G, $A9)
- SUMIFS('Form Responses 1'!$E:$E,'Form Responses 1'!$F:$F, "MUTASI/TRANSFER", 'Form Responses 1'!G:G, $A9)</f>
        <v>122000</v>
      </c>
    </row>
    <row r="10" ht="22.5" customHeight="1">
      <c r="A10" s="6" t="s">
        <v>19</v>
      </c>
      <c r="B10" s="18">
        <v>2630.0</v>
      </c>
      <c r="C10" s="19">
        <f>B10
+ SUMIFS('Form Responses 1'!$E:$E,'Form Responses 1'!$F:$F, "PEMASUKAN", 'Form Responses 1'!G:G, $A10)
+ SUMIFS('Form Responses 1'!$E:$E,'Form Responses 1'!$F:$F, "MUTASI/TRANSFER", 'Form Responses 1'!H:H, $A10)
- SUMIFS('Form Responses 1'!$E:$E,'Form Responses 1'!$F:$F, "PENGELUARAN", 'Form Responses 1'!G:G, $A10)
- SUMIFS('Form Responses 1'!$E:$E,'Form Responses 1'!$F:$F, "MUTASI/TRANSFER", 'Form Responses 1'!G:G, $A10)</f>
        <v>4630</v>
      </c>
    </row>
    <row r="11" ht="22.5" customHeight="1">
      <c r="A11" s="6" t="s">
        <v>53</v>
      </c>
      <c r="B11" s="18">
        <v>5418.0</v>
      </c>
      <c r="C11" s="19">
        <f>B11
+ SUMIFS('Form Responses 1'!$E:$E,'Form Responses 1'!$F:$F, "PEMASUKAN", 'Form Responses 1'!G:G, $A11)
+ SUMIFS('Form Responses 1'!$E:$E,'Form Responses 1'!$F:$F, "MUTASI/TRANSFER", 'Form Responses 1'!H:H, $A11)
- SUMIFS('Form Responses 1'!$E:$E,'Form Responses 1'!$F:$F, "PENGELUARAN", 'Form Responses 1'!G:G, $A11)
- SUMIFS('Form Responses 1'!$E:$E,'Form Responses 1'!$F:$F, "MUTASI/TRANSFER", 'Form Responses 1'!G:G, $A11)</f>
        <v>5418</v>
      </c>
    </row>
    <row r="12" ht="22.5" customHeight="1">
      <c r="A12" s="6" t="s">
        <v>54</v>
      </c>
      <c r="B12" s="18">
        <v>11400.0</v>
      </c>
      <c r="C12" s="19">
        <f>B12
+ SUMIFS('Form Responses 1'!$E:$E,'Form Responses 1'!$F:$F, "PEMASUKAN", 'Form Responses 1'!G:G, $A12)
+ SUMIFS('Form Responses 1'!$E:$E,'Form Responses 1'!$F:$F, "MUTASI/TRANSFER", 'Form Responses 1'!H:H, $A12)
- SUMIFS('Form Responses 1'!$E:$E,'Form Responses 1'!$F:$F, "PENGELUARAN", 'Form Responses 1'!G:G, $A12)
- SUMIFS('Form Responses 1'!$E:$E,'Form Responses 1'!$F:$F, "MUTASI/TRANSFER", 'Form Responses 1'!G:G, $A12)</f>
        <v>11400</v>
      </c>
      <c r="F12" s="14">
        <f>SUM(Table1[SISA SALDO])</f>
        <v>340962</v>
      </c>
    </row>
    <row r="13" ht="22.5" customHeight="1">
      <c r="A13" s="6" t="s">
        <v>21</v>
      </c>
      <c r="B13" s="18">
        <v>27975.0</v>
      </c>
      <c r="C13" s="19">
        <f>B13
+ SUMIFS('Form Responses 1'!$E:$E,'Form Responses 1'!$F:$F, "PEMASUKAN", 'Form Responses 1'!G:G, $A13)
+ SUMIFS('Form Responses 1'!$E:$E,'Form Responses 1'!$F:$F, "MUTASI/TRANSFER", 'Form Responses 1'!H:H, $A13)
- SUMIFS('Form Responses 1'!$E:$E,'Form Responses 1'!$F:$F, "PENGELUARAN", 'Form Responses 1'!G:G, $A13)
- SUMIFS('Form Responses 1'!$E:$E,'Form Responses 1'!$F:$F, "MUTASI/TRANSFER", 'Form Responses 1'!G:G, $A13)</f>
        <v>-17642</v>
      </c>
      <c r="F13" s="20">
        <v>266383.0</v>
      </c>
    </row>
    <row r="14" ht="22.5" customHeight="1">
      <c r="A14" s="6" t="s">
        <v>55</v>
      </c>
      <c r="B14" s="18">
        <v>27156.0</v>
      </c>
      <c r="C14" s="19">
        <f>B14
+ SUMIFS('Form Responses 1'!$E:$E,'Form Responses 1'!$F:$F, "PEMASUKAN", 'Form Responses 1'!G:G, $A14)
+ SUMIFS('Form Responses 1'!$E:$E,'Form Responses 1'!$F:$F, "MUTASI/TRANSFER", 'Form Responses 1'!H:H, $A14)
- SUMIFS('Form Responses 1'!$E:$E,'Form Responses 1'!$F:$F, "PENGELUARAN", 'Form Responses 1'!G:G, $A14)
- SUMIFS('Form Responses 1'!$E:$E,'Form Responses 1'!$F:$F, "MUTASI/TRANSFER", 'Form Responses 1'!G:G, $A14)</f>
        <v>27156</v>
      </c>
      <c r="F14" s="14">
        <f>F12-F13</f>
        <v>74579</v>
      </c>
    </row>
    <row r="18">
      <c r="A18" s="21" t="s">
        <v>50</v>
      </c>
      <c r="B18" s="21" t="s">
        <v>56</v>
      </c>
      <c r="C18" s="21" t="s">
        <v>4</v>
      </c>
    </row>
    <row r="19">
      <c r="A19" s="22" t="str">
        <f>IFERROR(__xludf.DUMMYFUNCTION("QUERY('Form Responses 1'!A2:I1000, ""SELECT G, D, E WHERE G IS NOT NULL ORDER BY A DESC"", 0)"),"CASH")</f>
        <v>CASH</v>
      </c>
      <c r="B19" s="22" t="str">
        <f>IFERROR(__xludf.DUMMYFUNCTION("""COMPUTED_VALUE"""),"TEST INPUT DATA")</f>
        <v>TEST INPUT DATA</v>
      </c>
      <c r="C19" s="22">
        <f>IFERROR(__xludf.DUMMYFUNCTION("""COMPUTED_VALUE"""),0.0)</f>
        <v>0</v>
      </c>
    </row>
    <row r="20">
      <c r="A20" s="22" t="str">
        <f>IFERROR(__xludf.DUMMYFUNCTION("""COMPUTED_VALUE"""),"CASH")</f>
        <v>CASH</v>
      </c>
      <c r="B20" s="22" t="str">
        <f>IFERROR(__xludf.DUMMYFUNCTION("""COMPUTED_VALUE"""),"Paket internet mama")</f>
        <v>Paket internet mama</v>
      </c>
      <c r="C20" s="22">
        <f>IFERROR(__xludf.DUMMYFUNCTION("""COMPUTED_VALUE"""),28000.0)</f>
        <v>28000</v>
      </c>
    </row>
    <row r="21">
      <c r="A21" s="22" t="str">
        <f>IFERROR(__xludf.DUMMYFUNCTION("""COMPUTED_VALUE"""),"CASH")</f>
        <v>CASH</v>
      </c>
      <c r="B21" s="22" t="str">
        <f>IFERROR(__xludf.DUMMYFUNCTION("""COMPUTED_VALUE"""),"Pertamax")</f>
        <v>Pertamax</v>
      </c>
      <c r="C21" s="22">
        <f>IFERROR(__xludf.DUMMYFUNCTION("""COMPUTED_VALUE"""),30000.0)</f>
        <v>30000</v>
      </c>
    </row>
    <row r="22">
      <c r="A22" s="22" t="str">
        <f>IFERROR(__xludf.DUMMYFUNCTION("""COMPUTED_VALUE"""),"SINARMAS")</f>
        <v>SINARMAS</v>
      </c>
      <c r="B22" s="22" t="str">
        <f>IFERROR(__xludf.DUMMYFUNCTION("""COMPUTED_VALUE"""),"Memasukkan cempolong")</f>
        <v>Memasukkan cempolong</v>
      </c>
      <c r="C22" s="22">
        <f>IFERROR(__xludf.DUMMYFUNCTION("""COMPUTED_VALUE"""),10000.0)</f>
        <v>10000</v>
      </c>
    </row>
    <row r="23">
      <c r="A23" s="22" t="str">
        <f>IFERROR(__xludf.DUMMYFUNCTION("""COMPUTED_VALUE"""),"SHOPEE PAY")</f>
        <v>SHOPEE PAY</v>
      </c>
      <c r="B23" s="22" t="str">
        <f>IFERROR(__xludf.DUMMYFUNCTION("""COMPUTED_VALUE"""),"Bayar spayleter")</f>
        <v>Bayar spayleter</v>
      </c>
      <c r="C23" s="22">
        <f>IFERROR(__xludf.DUMMYFUNCTION("""COMPUTED_VALUE"""),250491.0)</f>
        <v>250491</v>
      </c>
    </row>
    <row r="24">
      <c r="A24" s="22" t="str">
        <f>IFERROR(__xludf.DUMMYFUNCTION("""COMPUTED_VALUE"""),"SINARMAS")</f>
        <v>SINARMAS</v>
      </c>
      <c r="B24" s="22" t="str">
        <f>IFERROR(__xludf.DUMMYFUNCTION("""COMPUTED_VALUE"""),"Bayar spayleter")</f>
        <v>Bayar spayleter</v>
      </c>
      <c r="C24" s="22">
        <f>IFERROR(__xludf.DUMMYFUNCTION("""COMPUTED_VALUE"""),50000.0)</f>
        <v>50000</v>
      </c>
    </row>
    <row r="25">
      <c r="A25" s="22" t="str">
        <f>IFERROR(__xludf.DUMMYFUNCTION("""COMPUTED_VALUE"""),"SHOPEE PAY")</f>
        <v>SHOPEE PAY</v>
      </c>
      <c r="B25" s="22" t="str">
        <f>IFERROR(__xludf.DUMMYFUNCTION("""COMPUTED_VALUE"""),"Bayar spayleter ricat")</f>
        <v>Bayar spayleter ricat</v>
      </c>
      <c r="C25" s="22">
        <f>IFERROR(__xludf.DUMMYFUNCTION("""COMPUTED_VALUE"""),179731.0)</f>
        <v>179731</v>
      </c>
    </row>
    <row r="26">
      <c r="A26" s="22" t="str">
        <f>IFERROR(__xludf.DUMMYFUNCTION("""COMPUTED_VALUE"""),"SHOPEE PAY")</f>
        <v>SHOPEE PAY</v>
      </c>
      <c r="B26" s="22" t="str">
        <f>IFERROR(__xludf.DUMMYFUNCTION("""COMPUTED_VALUE"""),"Bayar spylater (kombinasi aku dan ricat) ")</f>
        <v>Bayar spylater (kombinasi aku dan ricat) </v>
      </c>
      <c r="C26" s="22">
        <f>IFERROR(__xludf.DUMMYFUNCTION("""COMPUTED_VALUE"""),260401.0)</f>
        <v>260401</v>
      </c>
    </row>
    <row r="27">
      <c r="A27" s="22" t="str">
        <f>IFERROR(__xludf.DUMMYFUNCTION("""COMPUTED_VALUE"""),"SHOPEE PAY")</f>
        <v>SHOPEE PAY</v>
      </c>
      <c r="B27" s="22" t="str">
        <f>IFERROR(__xludf.DUMMYFUNCTION("""COMPUTED_VALUE"""),"Bayar spaylater dari ricat")</f>
        <v>Bayar spaylater dari ricat</v>
      </c>
      <c r="C27" s="22">
        <f>IFERROR(__xludf.DUMMYFUNCTION("""COMPUTED_VALUE"""),480000.0)</f>
        <v>480000</v>
      </c>
    </row>
    <row r="28">
      <c r="A28" s="22" t="str">
        <f>IFERROR(__xludf.DUMMYFUNCTION("""COMPUTED_VALUE"""),"CASH")</f>
        <v>CASH</v>
      </c>
      <c r="B28" s="22" t="str">
        <f>IFERROR(__xludf.DUMMYFUNCTION("""COMPUTED_VALUE"""),"Uang bayar wifi cash")</f>
        <v>Uang bayar wifi cash</v>
      </c>
      <c r="C28" s="22">
        <f>IFERROR(__xludf.DUMMYFUNCTION("""COMPUTED_VALUE"""),167000.0)</f>
        <v>167000</v>
      </c>
    </row>
    <row r="29">
      <c r="A29" s="22" t="str">
        <f>IFERROR(__xludf.DUMMYFUNCTION("""COMPUTED_VALUE"""),"SINARMAS")</f>
        <v>SINARMAS</v>
      </c>
      <c r="B29" s="22" t="str">
        <f>IFERROR(__xludf.DUMMYFUNCTION("""COMPUTED_VALUE"""),"Bayar wifi")</f>
        <v>Bayar wifi</v>
      </c>
      <c r="C29" s="22">
        <f>IFERROR(__xludf.DUMMYFUNCTION("""COMPUTED_VALUE"""),167000.0)</f>
        <v>167000</v>
      </c>
    </row>
    <row r="30">
      <c r="A30" s="22" t="str">
        <f>IFERROR(__xludf.DUMMYFUNCTION("""COMPUTED_VALUE"""),"CASH")</f>
        <v>CASH</v>
      </c>
      <c r="B30" s="22" t="str">
        <f>IFERROR(__xludf.DUMMYFUNCTION("""COMPUTED_VALUE"""),"Ganti uang print benner")</f>
        <v>Ganti uang print benner</v>
      </c>
      <c r="C30" s="22">
        <f>IFERROR(__xludf.DUMMYFUNCTION("""COMPUTED_VALUE"""),61000.0)</f>
        <v>61000</v>
      </c>
    </row>
    <row r="31">
      <c r="A31" s="22" t="str">
        <f>IFERROR(__xludf.DUMMYFUNCTION("""COMPUTED_VALUE"""),"SINARMAS")</f>
        <v>SINARMAS</v>
      </c>
      <c r="B31" s="22" t="str">
        <f>IFERROR(__xludf.DUMMYFUNCTION("""COMPUTED_VALUE"""),"Bayar bener dan stiker k3")</f>
        <v>Bayar bener dan stiker k3</v>
      </c>
      <c r="C31" s="22">
        <f>IFERROR(__xludf.DUMMYFUNCTION("""COMPUTED_VALUE"""),70000.0)</f>
        <v>70000</v>
      </c>
    </row>
    <row r="32">
      <c r="A32" s="22" t="str">
        <f>IFERROR(__xludf.DUMMYFUNCTION("""COMPUTED_VALUE"""),"SHOPEE PAY")</f>
        <v>SHOPEE PAY</v>
      </c>
      <c r="B32" s="22" t="str">
        <f>IFERROR(__xludf.DUMMYFUNCTION("""COMPUTED_VALUE"""),"Bayar spinjam")</f>
        <v>Bayar spinjam</v>
      </c>
      <c r="C32" s="22">
        <f>IFERROR(__xludf.DUMMYFUNCTION("""COMPUTED_VALUE"""),62660.0)</f>
        <v>62660</v>
      </c>
    </row>
    <row r="33">
      <c r="A33" s="22" t="str">
        <f>IFERROR(__xludf.DUMMYFUNCTION("""COMPUTED_VALUE"""),"SHOPEE PAY")</f>
        <v>SHOPEE PAY</v>
      </c>
      <c r="B33" s="22" t="str">
        <f>IFERROR(__xludf.DUMMYFUNCTION("""COMPUTED_VALUE"""),"Bayar spinjam")</f>
        <v>Bayar spinjam</v>
      </c>
      <c r="C33" s="22">
        <f>IFERROR(__xludf.DUMMYFUNCTION("""COMPUTED_VALUE"""),100262.0)</f>
        <v>100262</v>
      </c>
    </row>
    <row r="34">
      <c r="A34" s="22" t="str">
        <f>IFERROR(__xludf.DUMMYFUNCTION("""COMPUTED_VALUE"""),"SHOPEE PAY")</f>
        <v>SHOPEE PAY</v>
      </c>
      <c r="B34" s="22" t="str">
        <f>IFERROR(__xludf.DUMMYFUNCTION("""COMPUTED_VALUE"""),"Bayar Spaylater")</f>
        <v>Bayar Spaylater</v>
      </c>
      <c r="C34" s="22">
        <f>IFERROR(__xludf.DUMMYFUNCTION("""COMPUTED_VALUE"""),76066.0)</f>
        <v>76066</v>
      </c>
    </row>
    <row r="35">
      <c r="A35" s="22" t="str">
        <f>IFERROR(__xludf.DUMMYFUNCTION("""COMPUTED_VALUE"""),"SHOPEE PAY")</f>
        <v>SHOPEE PAY</v>
      </c>
      <c r="B35" s="22" t="str">
        <f>IFERROR(__xludf.DUMMYFUNCTION("""COMPUTED_VALUE"""),"Jajan")</f>
        <v>Jajan</v>
      </c>
      <c r="C35" s="22">
        <f>IFERROR(__xludf.DUMMYFUNCTION("""COMPUTED_VALUE"""),16200.0)</f>
        <v>16200</v>
      </c>
    </row>
    <row r="36">
      <c r="A36" s="22" t="str">
        <f>IFERROR(__xludf.DUMMYFUNCTION("""COMPUTED_VALUE"""),"SINARMAS")</f>
        <v>SINARMAS</v>
      </c>
      <c r="B36" s="22" t="str">
        <f>IFERROR(__xludf.DUMMYFUNCTION("""COMPUTED_VALUE"""),"bayar cetak stiker")</f>
        <v>bayar cetak stiker</v>
      </c>
      <c r="C36" s="22">
        <f>IFERROR(__xludf.DUMMYFUNCTION("""COMPUTED_VALUE"""),11000.0)</f>
        <v>11000</v>
      </c>
    </row>
    <row r="37">
      <c r="A37" s="22" t="str">
        <f>IFERROR(__xludf.DUMMYFUNCTION("""COMPUTED_VALUE"""),"CASH")</f>
        <v>CASH</v>
      </c>
      <c r="B37" s="22" t="str">
        <f>IFERROR(__xludf.DUMMYFUNCTION("""COMPUTED_VALUE"""),"Oper uang untuk bayar jajan (pak ray) ")</f>
        <v>Oper uang untuk bayar jajan (pak ray) </v>
      </c>
      <c r="C37" s="22">
        <f>IFERROR(__xludf.DUMMYFUNCTION("""COMPUTED_VALUE"""),10000.0)</f>
        <v>10000</v>
      </c>
    </row>
    <row r="38">
      <c r="A38" s="22" t="str">
        <f>IFERROR(__xludf.DUMMYFUNCTION("""COMPUTED_VALUE"""),"CASH")</f>
        <v>CASH</v>
      </c>
      <c r="B38" s="22" t="str">
        <f>IFERROR(__xludf.DUMMYFUNCTION("""COMPUTED_VALUE"""),"Oper uang untuk bayar jajan (diva &amp; rozaq) ")</f>
        <v>Oper uang untuk bayar jajan (diva &amp; rozaq) </v>
      </c>
      <c r="C38" s="22">
        <f>IFERROR(__xludf.DUMMYFUNCTION("""COMPUTED_VALUE"""),20000.0)</f>
        <v>20000</v>
      </c>
    </row>
    <row r="39">
      <c r="A39" s="22" t="str">
        <f>IFERROR(__xludf.DUMMYFUNCTION("""COMPUTED_VALUE"""),"SINARMAS")</f>
        <v>SINARMAS</v>
      </c>
      <c r="B39" s="22" t="str">
        <f>IFERROR(__xludf.DUMMYFUNCTION("""COMPUTED_VALUE"""),"Oper uang untuk bayar jajan (pak ray) ")</f>
        <v>Oper uang untuk bayar jajan (pak ray) </v>
      </c>
      <c r="C39" s="22">
        <f>IFERROR(__xludf.DUMMYFUNCTION("""COMPUTED_VALUE"""),10000.0)</f>
        <v>10000</v>
      </c>
    </row>
    <row r="40">
      <c r="A40" s="22" t="str">
        <f>IFERROR(__xludf.DUMMYFUNCTION("""COMPUTED_VALUE"""),"SINARMAS")</f>
        <v>SINARMAS</v>
      </c>
      <c r="B40" s="22" t="str">
        <f>IFERROR(__xludf.DUMMYFUNCTION("""COMPUTED_VALUE"""),"Oper uang untuk bayar jajan (rozaq) ")</f>
        <v>Oper uang untuk bayar jajan (rozaq) </v>
      </c>
      <c r="C40" s="22">
        <f>IFERROR(__xludf.DUMMYFUNCTION("""COMPUTED_VALUE"""),10000.0)</f>
        <v>10000</v>
      </c>
    </row>
    <row r="41">
      <c r="A41" s="22" t="str">
        <f>IFERROR(__xludf.DUMMYFUNCTION("""COMPUTED_VALUE"""),"SINARMAS")</f>
        <v>SINARMAS</v>
      </c>
      <c r="B41" s="22" t="str">
        <f>IFERROR(__xludf.DUMMYFUNCTION("""COMPUTED_VALUE"""),"Oper uang untuk bayar jajan (diva) ")</f>
        <v>Oper uang untuk bayar jajan (diva) </v>
      </c>
      <c r="C41" s="22">
        <f>IFERROR(__xludf.DUMMYFUNCTION("""COMPUTED_VALUE"""),10000.0)</f>
        <v>10000</v>
      </c>
    </row>
    <row r="42">
      <c r="A42" s="22" t="str">
        <f>IFERROR(__xludf.DUMMYFUNCTION("""COMPUTED_VALUE"""),"CASH")</f>
        <v>CASH</v>
      </c>
      <c r="B42" s="22" t="str">
        <f>IFERROR(__xludf.DUMMYFUNCTION("""COMPUTED_VALUE"""),"Jajan")</f>
        <v>Jajan</v>
      </c>
      <c r="C42" s="22">
        <f>IFERROR(__xludf.DUMMYFUNCTION("""COMPUTED_VALUE"""),15000.0)</f>
        <v>15000</v>
      </c>
    </row>
    <row r="43">
      <c r="A43" s="22" t="str">
        <f>IFERROR(__xludf.DUMMYFUNCTION("""COMPUTED_VALUE"""),"SHOPEE PAY")</f>
        <v>SHOPEE PAY</v>
      </c>
      <c r="B43" s="22" t="str">
        <f>IFERROR(__xludf.DUMMYFUNCTION("""COMPUTED_VALUE"""),"Bayar payleter")</f>
        <v>Bayar payleter</v>
      </c>
      <c r="C43" s="22">
        <f>IFERROR(__xludf.DUMMYFUNCTION("""COMPUTED_VALUE"""),129806.0)</f>
        <v>129806</v>
      </c>
    </row>
    <row r="44">
      <c r="A44" s="22" t="str">
        <f>IFERROR(__xludf.DUMMYFUNCTION("""COMPUTED_VALUE"""),"DANA")</f>
        <v>DANA</v>
      </c>
      <c r="B44" s="22" t="str">
        <f>IFERROR(__xludf.DUMMYFUNCTION("""COMPUTED_VALUE"""),"Tagihan gmail Iphon")</f>
        <v>Tagihan gmail Iphon</v>
      </c>
      <c r="C44" s="22">
        <f>IFERROR(__xludf.DUMMYFUNCTION("""COMPUTED_VALUE"""),48000.0)</f>
        <v>48000</v>
      </c>
    </row>
    <row r="45">
      <c r="A45" s="22" t="str">
        <f>IFERROR(__xludf.DUMMYFUNCTION("""COMPUTED_VALUE"""),"SINARMAS")</f>
        <v>SINARMAS</v>
      </c>
      <c r="B45" s="22" t="str">
        <f>IFERROR(__xludf.DUMMYFUNCTION("""COMPUTED_VALUE"""),"Bayaran hutang cak pendik")</f>
        <v>Bayaran hutang cak pendik</v>
      </c>
      <c r="C45" s="22">
        <f>IFERROR(__xludf.DUMMYFUNCTION("""COMPUTED_VALUE"""),50000.0)</f>
        <v>50000</v>
      </c>
    </row>
    <row r="46">
      <c r="A46" s="22" t="str">
        <f>IFERROR(__xludf.DUMMYFUNCTION("""COMPUTED_VALUE"""),"CASH")</f>
        <v>CASH</v>
      </c>
      <c r="B46" s="22" t="str">
        <f>IFERROR(__xludf.DUMMYFUNCTION("""COMPUTED_VALUE"""),"Memberi adek")</f>
        <v>Memberi adek</v>
      </c>
      <c r="C46" s="22">
        <f>IFERROR(__xludf.DUMMYFUNCTION("""COMPUTED_VALUE"""),50000.0)</f>
        <v>50000</v>
      </c>
    </row>
    <row r="47">
      <c r="A47" s="22" t="str">
        <f>IFERROR(__xludf.DUMMYFUNCTION("""COMPUTED_VALUE"""),"CASH")</f>
        <v>CASH</v>
      </c>
      <c r="B47" s="22" t="str">
        <f>IFERROR(__xludf.DUMMYFUNCTION("""COMPUTED_VALUE"""),"Jajan")</f>
        <v>Jajan</v>
      </c>
      <c r="C47" s="22">
        <f>IFERROR(__xludf.DUMMYFUNCTION("""COMPUTED_VALUE"""),37000.0)</f>
        <v>37000</v>
      </c>
    </row>
    <row r="48">
      <c r="A48" s="22" t="str">
        <f>IFERROR(__xludf.DUMMYFUNCTION("""COMPUTED_VALUE"""),"CASH")</f>
        <v>CASH</v>
      </c>
      <c r="B48" s="22" t="str">
        <f>IFERROR(__xludf.DUMMYFUNCTION("""COMPUTED_VALUE"""),"Memberi mama")</f>
        <v>Memberi mama</v>
      </c>
      <c r="C48" s="22">
        <f>IFERROR(__xludf.DUMMYFUNCTION("""COMPUTED_VALUE"""),300000.0)</f>
        <v>300000</v>
      </c>
    </row>
    <row r="49">
      <c r="A49" s="22" t="str">
        <f>IFERROR(__xludf.DUMMYFUNCTION("""COMPUTED_VALUE"""),"CASH")</f>
        <v>CASH</v>
      </c>
      <c r="B49" s="22" t="str">
        <f>IFERROR(__xludf.DUMMYFUNCTION("""COMPUTED_VALUE"""),"Nabung")</f>
        <v>Nabung</v>
      </c>
      <c r="C49" s="22">
        <f>IFERROR(__xludf.DUMMYFUNCTION("""COMPUTED_VALUE"""),500000.0)</f>
        <v>500000</v>
      </c>
    </row>
    <row r="50">
      <c r="A50" s="22" t="str">
        <f>IFERROR(__xludf.DUMMYFUNCTION("""COMPUTED_VALUE"""),"SINARMAS")</f>
        <v>SINARMAS</v>
      </c>
      <c r="B50" s="22" t="str">
        <f>IFERROR(__xludf.DUMMYFUNCTION("""COMPUTED_VALUE"""),"Bayar spay")</f>
        <v>Bayar spay</v>
      </c>
      <c r="C50" s="22">
        <f>IFERROR(__xludf.DUMMYFUNCTION("""COMPUTED_VALUE"""),500000.0)</f>
        <v>500000</v>
      </c>
    </row>
    <row r="51">
      <c r="A51" s="22" t="str">
        <f>IFERROR(__xludf.DUMMYFUNCTION("""COMPUTED_VALUE"""),"SINARMAS")</f>
        <v>SINARMAS</v>
      </c>
      <c r="B51" s="22" t="str">
        <f>IFERROR(__xludf.DUMMYFUNCTION("""COMPUTED_VALUE"""),"Untuk langganan iclod")</f>
        <v>Untuk langganan iclod</v>
      </c>
      <c r="C51" s="22">
        <f>IFERROR(__xludf.DUMMYFUNCTION("""COMPUTED_VALUE"""),50000.0)</f>
        <v>50000</v>
      </c>
    </row>
    <row r="52">
      <c r="A52" s="22" t="str">
        <f>IFERROR(__xludf.DUMMYFUNCTION("""COMPUTED_VALUE"""),"CASH")</f>
        <v>CASH</v>
      </c>
      <c r="B52" s="22" t="str">
        <f>IFERROR(__xludf.DUMMYFUNCTION("""COMPUTED_VALUE"""),"Kondangan/buwuh")</f>
        <v>Kondangan/buwuh</v>
      </c>
      <c r="C52" s="22">
        <f>IFERROR(__xludf.DUMMYFUNCTION("""COMPUTED_VALUE"""),50000.0)</f>
        <v>50000</v>
      </c>
    </row>
    <row r="53">
      <c r="A53" s="22" t="str">
        <f>IFERROR(__xludf.DUMMYFUNCTION("""COMPUTED_VALUE"""),"SINARMAS")</f>
        <v>SINARMAS</v>
      </c>
      <c r="B53" s="22" t="str">
        <f>IFERROR(__xludf.DUMMYFUNCTION("""COMPUTED_VALUE"""),"Tarik tunai")</f>
        <v>Tarik tunai</v>
      </c>
      <c r="C53" s="22">
        <f>IFERROR(__xludf.DUMMYFUNCTION("""COMPUTED_VALUE"""),1000000.0)</f>
        <v>1000000</v>
      </c>
    </row>
    <row r="54">
      <c r="A54" s="22" t="str">
        <f>IFERROR(__xludf.DUMMYFUNCTION("""COMPUTED_VALUE"""),"SINARMAS")</f>
        <v>SINARMAS</v>
      </c>
      <c r="B54" s="22" t="str">
        <f>IFERROR(__xludf.DUMMYFUNCTION("""COMPUTED_VALUE"""),"Gaji")</f>
        <v>Gaji</v>
      </c>
      <c r="C54" s="22">
        <f>IFERROR(__xludf.DUMMYFUNCTION("""COMPUTED_VALUE"""),2000000.0)</f>
        <v>2000000</v>
      </c>
    </row>
  </sheetData>
  <dataValidations>
    <dataValidation type="custom" allowBlank="1" showDropDown="1" sqref="A3:C3 B8:C14">
      <formula1>AND(ISNUMBER(A3),(NOT(OR(NOT(ISERROR(DATEVALUE(A3))), AND(ISNUMBER(A3), LEFT(CELL("format", A3))="D")))))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.88"/>
    <col customWidth="1" min="4" max="4" width="17.75"/>
    <col customWidth="1" min="5" max="5" width="3.5"/>
    <col customWidth="1" min="6" max="6" width="14.25"/>
    <col customWidth="1" min="8" max="8" width="5.13"/>
    <col customWidth="1" min="9" max="9" width="18.75"/>
    <col customWidth="1" min="10" max="10" width="2.63"/>
    <col customWidth="1" min="11" max="11" width="18.5"/>
    <col customWidth="1" min="12" max="12" width="2.88"/>
    <col customWidth="1" min="13" max="13" width="14.75"/>
    <col customWidth="1" min="14" max="14" width="3.5"/>
    <col customWidth="1" min="15" max="15" width="15.0"/>
  </cols>
  <sheetData>
    <row r="2">
      <c r="B2" s="23" t="s">
        <v>11</v>
      </c>
      <c r="C2" s="24"/>
      <c r="D2" s="25" t="s">
        <v>17</v>
      </c>
      <c r="E2" s="24"/>
      <c r="F2" s="26" t="s">
        <v>52</v>
      </c>
      <c r="I2" s="27" t="s">
        <v>57</v>
      </c>
      <c r="J2" s="28"/>
      <c r="K2" s="29" t="s">
        <v>58</v>
      </c>
      <c r="L2" s="28"/>
      <c r="M2" s="30" t="s">
        <v>59</v>
      </c>
      <c r="N2" s="28"/>
      <c r="O2" s="31" t="s">
        <v>60</v>
      </c>
    </row>
    <row r="3">
      <c r="B3" s="32">
        <f>SUMIF('Form Responses 1'!$F:$F,"PEMASUKAN",'Form Responses 1'!$E:$E)</f>
        <v>2738000</v>
      </c>
      <c r="C3" s="24"/>
      <c r="D3" s="33">
        <f>SUMIF('Form Responses 1'!$F:$F,"PENGELUARAN",'Form Responses 1'!$E:$E)</f>
        <v>2471617</v>
      </c>
      <c r="E3" s="24"/>
      <c r="F3" s="34">
        <f>$B$3-$D$3</f>
        <v>266383</v>
      </c>
      <c r="I3" s="35">
        <v>76000.0</v>
      </c>
      <c r="J3" s="36"/>
      <c r="K3" s="37">
        <v>12971.0</v>
      </c>
      <c r="L3" s="36"/>
      <c r="M3" s="38">
        <v>7130.0</v>
      </c>
      <c r="N3" s="36"/>
      <c r="O3" s="39">
        <v>5408.0</v>
      </c>
    </row>
    <row r="4">
      <c r="B4" s="14"/>
    </row>
    <row r="5">
      <c r="B5" s="14"/>
      <c r="I5" s="40" t="s">
        <v>61</v>
      </c>
      <c r="J5" s="21"/>
      <c r="K5" s="41" t="s">
        <v>62</v>
      </c>
      <c r="L5" s="28"/>
      <c r="M5" s="42" t="s">
        <v>63</v>
      </c>
    </row>
    <row r="6">
      <c r="B6" s="14"/>
      <c r="I6" s="43">
        <v>21400.0</v>
      </c>
      <c r="J6" s="44"/>
      <c r="K6" s="45">
        <v>53502.0</v>
      </c>
      <c r="L6" s="36"/>
      <c r="M6" s="46">
        <v>27156.0</v>
      </c>
    </row>
    <row r="7">
      <c r="B7" s="14"/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